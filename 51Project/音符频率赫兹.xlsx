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6673\Desktop\2026\嵌入式\51单片机\"/>
    </mc:Choice>
  </mc:AlternateContent>
  <xr:revisionPtr revIDLastSave="0" documentId="13_ncr:1_{02788DD8-EABB-43F9-8DD0-E0691A05AE0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E8" i="1"/>
  <c r="E13" i="1"/>
  <c r="D3" i="1"/>
  <c r="E3" i="1" s="1"/>
  <c r="D4" i="1"/>
  <c r="E4" i="1" s="1"/>
  <c r="D5" i="1"/>
  <c r="E5" i="1" s="1"/>
  <c r="D6" i="1"/>
  <c r="E6" i="1" s="1"/>
  <c r="D7" i="1"/>
  <c r="E7" i="1" s="1"/>
  <c r="D8" i="1"/>
  <c r="D9" i="1"/>
  <c r="E9" i="1" s="1"/>
  <c r="D10" i="1"/>
  <c r="E10" i="1" s="1"/>
  <c r="D11" i="1"/>
  <c r="E11" i="1" s="1"/>
  <c r="D12" i="1"/>
  <c r="E12" i="1" s="1"/>
  <c r="D13" i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2" i="1"/>
  <c r="E2" i="1" s="1"/>
  <c r="C10" i="1"/>
  <c r="C9" i="1" s="1"/>
  <c r="C8" i="1" s="1"/>
  <c r="C7" i="1" s="1"/>
  <c r="C6" i="1" s="1"/>
  <c r="C5" i="1" s="1"/>
  <c r="C4" i="1" s="1"/>
  <c r="C3" i="1" s="1"/>
  <c r="C2" i="1" s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l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</calcChain>
</file>

<file path=xl/sharedStrings.xml><?xml version="1.0" encoding="utf-8"?>
<sst xmlns="http://schemas.openxmlformats.org/spreadsheetml/2006/main" count="23" uniqueCount="13">
  <si>
    <t>1#</t>
    <phoneticPr fontId="1" type="noConversion"/>
  </si>
  <si>
    <t>2#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</si>
  <si>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</si>
  <si>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</si>
  <si>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</si>
  <si>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音符</t>
    <phoneticPr fontId="1" type="noConversion"/>
  </si>
  <si>
    <t>频率Hz</t>
    <phoneticPr fontId="1" type="noConversion"/>
  </si>
  <si>
    <t>十二评分定律 前音/2^(1/12) 后音*2^(1/12)</t>
    <phoneticPr fontId="1" type="noConversion"/>
  </si>
  <si>
    <t>周期(us)</t>
    <phoneticPr fontId="1" type="noConversion"/>
  </si>
  <si>
    <t>周期/2(us)</t>
    <phoneticPr fontId="1" type="noConversion"/>
  </si>
  <si>
    <t>取整</t>
    <phoneticPr fontId="1" type="noConversion"/>
  </si>
  <si>
    <t>重装载值</t>
    <phoneticPr fontId="1" type="noConversion"/>
  </si>
  <si>
    <t>索引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</si>
</sst>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音符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Sheet1!$A$2:$A$37</c:f>
              <c:numCache>
                <c:formatCode>General</c:formatCode>
                <c:ptCount val="3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4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6</c:v>
                </c:pt>
                <c:pt idx="22">
                  <c:v>0</c:v>
                </c:pt>
                <c:pt idx="23">
                  <c:v>7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3</c:v>
                </c:pt>
                <c:pt idx="29">
                  <c:v>4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  <c:pt idx="33">
                  <c:v>6</c:v>
                </c:pt>
                <c:pt idx="34">
                  <c:v>0</c:v>
                </c:pt>
                <c:pt idx="3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6-419A-9C63-ABBD92E4B47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频率Hz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Sheet1!$B$2:$B$37</c:f>
              <c:numCache>
                <c:formatCode>General</c:formatCode>
                <c:ptCount val="36"/>
                <c:pt idx="0">
                  <c:v>262</c:v>
                </c:pt>
                <c:pt idx="1">
                  <c:v>277</c:v>
                </c:pt>
                <c:pt idx="2">
                  <c:v>294</c:v>
                </c:pt>
                <c:pt idx="3">
                  <c:v>311</c:v>
                </c:pt>
                <c:pt idx="4">
                  <c:v>330</c:v>
                </c:pt>
                <c:pt idx="5">
                  <c:v>349</c:v>
                </c:pt>
                <c:pt idx="6">
                  <c:v>370</c:v>
                </c:pt>
                <c:pt idx="7">
                  <c:v>392</c:v>
                </c:pt>
                <c:pt idx="8">
                  <c:v>415</c:v>
                </c:pt>
                <c:pt idx="9">
                  <c:v>440</c:v>
                </c:pt>
                <c:pt idx="10">
                  <c:v>466</c:v>
                </c:pt>
                <c:pt idx="11">
                  <c:v>494</c:v>
                </c:pt>
                <c:pt idx="12">
                  <c:v>523</c:v>
                </c:pt>
                <c:pt idx="13">
                  <c:v>554</c:v>
                </c:pt>
                <c:pt idx="14">
                  <c:v>587</c:v>
                </c:pt>
                <c:pt idx="15">
                  <c:v>622</c:v>
                </c:pt>
                <c:pt idx="16">
                  <c:v>659</c:v>
                </c:pt>
                <c:pt idx="17">
                  <c:v>698</c:v>
                </c:pt>
                <c:pt idx="18">
                  <c:v>740</c:v>
                </c:pt>
                <c:pt idx="19">
                  <c:v>784</c:v>
                </c:pt>
                <c:pt idx="20">
                  <c:v>831</c:v>
                </c:pt>
                <c:pt idx="21">
                  <c:v>880</c:v>
                </c:pt>
                <c:pt idx="22">
                  <c:v>932</c:v>
                </c:pt>
                <c:pt idx="23">
                  <c:v>988</c:v>
                </c:pt>
                <c:pt idx="24">
                  <c:v>1046</c:v>
                </c:pt>
                <c:pt idx="25">
                  <c:v>1109</c:v>
                </c:pt>
                <c:pt idx="26">
                  <c:v>1175</c:v>
                </c:pt>
                <c:pt idx="27">
                  <c:v>1245</c:v>
                </c:pt>
                <c:pt idx="28">
                  <c:v>1318</c:v>
                </c:pt>
                <c:pt idx="29">
                  <c:v>1397</c:v>
                </c:pt>
                <c:pt idx="30">
                  <c:v>1480</c:v>
                </c:pt>
                <c:pt idx="31">
                  <c:v>1568</c:v>
                </c:pt>
                <c:pt idx="32">
                  <c:v>1661</c:v>
                </c:pt>
                <c:pt idx="33">
                  <c:v>1760</c:v>
                </c:pt>
                <c:pt idx="34">
                  <c:v>1865</c:v>
                </c:pt>
                <c:pt idx="35">
                  <c:v>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19A-9C63-ABBD92E4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968143"/>
        <c:axId val="1699961903"/>
      </c:lineChart>
      <c:catAx>
        <c:axId val="1699968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9961903"/>
        <c:crosses val="autoZero"/>
        <c:auto val="1"/>
        <c:lblAlgn val="ctr"/>
        <c:lblOffset val="100"/>
        <c:noMultiLvlLbl val="0"/>
      </c:catAx>
      <c:valAx>
        <c:axId val="169996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99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2</xdr:row>
      <xdr:rowOff>118110</xdr:rowOff>
    </xdr:from>
    <xdr:to>
      <xdr:col>15</xdr:col>
      <xdr:colOff>434340</xdr:colOff>
      <xdr:row>18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1C2563-3E90-A970-C624-4B223605F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100" workbookViewId="0">
      <selection activeCell="H9" sqref="H9"/>
    </sheetView>
  </sheetViews>
  <sheetFormatPr defaultRowHeight="13.8" x14ac:dyDescent="0.25"/>
  <cols>
    <col min="1" max="2" width="8.88671875" style="1"/>
    <col min="4" max="4" width="8.88671875" style="1"/>
    <col min="6" max="7" width="8.88671875" style="1"/>
  </cols>
  <sheetData>
    <row r="1" spans="1:8" x14ac:dyDescent="0.25">
      <c r="A1" s="1" t="s">
        <v>5</v>
      </c>
      <c r="B1" s="1" t="s">
        <v>6</v>
      </c>
      <c r="C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s="1">
        <v>1</v>
      </c>
      <c r="B2" s="1">
        <v>262</v>
      </c>
      <c r="C2">
        <f t="shared" ref="C2:C9" si="0">C3/2^(1/12)</f>
        <v>261.62556530059851</v>
      </c>
      <c r="D2" s="1">
        <f>1/B2*1000000</f>
        <v>3816.7938931297708</v>
      </c>
      <c r="E2">
        <f t="shared" ref="E2:E37" si="1">D2/2</f>
        <v>1908.3969465648854</v>
      </c>
      <c r="F2" s="1">
        <f>ROUND(E2,0)</f>
        <v>1908</v>
      </c>
      <c r="G2" s="1">
        <f>65536-F2</f>
        <v>63628</v>
      </c>
      <c r="H2" s="1">
        <v>0</v>
      </c>
    </row>
    <row r="3" spans="1:8" x14ac:dyDescent="0.25">
      <c r="A3" s="1" t="s">
        <v>0</v>
      </c>
      <c r="B3" s="1">
        <v>277</v>
      </c>
      <c r="C3">
        <f t="shared" si="0"/>
        <v>277.18263097687196</v>
      </c>
      <c r="D3" s="1">
        <f t="shared" ref="D3:D37" si="2">1/B3*1000000</f>
        <v>3610.1083032490974</v>
      </c>
      <c r="E3">
        <f t="shared" si="1"/>
        <v>1805.0541516245487</v>
      </c>
      <c r="F3" s="1">
        <f>ROUND(E3,0)</f>
        <v>1805</v>
      </c>
      <c r="G3" s="1">
        <f t="shared" ref="G3:G37" si="3">65536-F3</f>
        <v>63731</v>
      </c>
      <c r="H3" s="1">
        <v>1</v>
      </c>
    </row>
    <row r="4" spans="1:8" x14ac:dyDescent="0.25">
      <c r="A4" s="1">
        <v>2</v>
      </c>
      <c r="B4" s="1">
        <v>294</v>
      </c>
      <c r="C4">
        <f t="shared" si="0"/>
        <v>293.66476791740746</v>
      </c>
      <c r="D4" s="1">
        <f t="shared" si="2"/>
        <v>3401.3605442176868</v>
      </c>
      <c r="E4">
        <f t="shared" si="1"/>
        <v>1700.6802721088434</v>
      </c>
      <c r="F4" s="1">
        <f t="shared" ref="F4:F37" si="4">ROUND(E4,0)</f>
        <v>1701</v>
      </c>
      <c r="G4" s="1">
        <f t="shared" si="3"/>
        <v>63835</v>
      </c>
      <c r="H4" s="1">
        <v>2</v>
      </c>
    </row>
    <row r="5" spans="1:8" x14ac:dyDescent="0.25">
      <c r="A5" s="1" t="s">
        <v>1</v>
      </c>
      <c r="B5" s="1">
        <v>311</v>
      </c>
      <c r="C5">
        <f t="shared" si="0"/>
        <v>311.12698372208081</v>
      </c>
      <c r="D5" s="1">
        <f t="shared" si="2"/>
        <v>3215.4340836012861</v>
      </c>
      <c r="E5">
        <f t="shared" si="1"/>
        <v>1607.7170418006431</v>
      </c>
      <c r="F5" s="1">
        <f t="shared" si="4"/>
        <v>1608</v>
      </c>
      <c r="G5" s="1">
        <f t="shared" si="3"/>
        <v>63928</v>
      </c>
      <c r="H5" s="1">
        <v>3</v>
      </c>
    </row>
    <row r="6" spans="1:8" x14ac:dyDescent="0.25">
      <c r="A6" s="1">
        <v>3</v>
      </c>
      <c r="B6" s="1">
        <v>330</v>
      </c>
      <c r="C6">
        <f t="shared" si="0"/>
        <v>329.62755691286986</v>
      </c>
      <c r="D6" s="1">
        <f t="shared" si="2"/>
        <v>3030.3030303030305</v>
      </c>
      <c r="E6">
        <f t="shared" si="1"/>
        <v>1515.1515151515152</v>
      </c>
      <c r="F6" s="1">
        <f t="shared" si="4"/>
        <v>1515</v>
      </c>
      <c r="G6" s="1">
        <f t="shared" si="3"/>
        <v>64021</v>
      </c>
      <c r="H6" s="1">
        <v>4</v>
      </c>
    </row>
    <row r="7" spans="1:8" x14ac:dyDescent="0.25">
      <c r="A7" s="1">
        <v>4</v>
      </c>
      <c r="B7" s="1">
        <v>349</v>
      </c>
      <c r="C7">
        <f t="shared" si="0"/>
        <v>349.22823143300383</v>
      </c>
      <c r="D7" s="1">
        <f t="shared" si="2"/>
        <v>2865.3295128939826</v>
      </c>
      <c r="E7">
        <f t="shared" si="1"/>
        <v>1432.6647564469913</v>
      </c>
      <c r="F7" s="1">
        <f t="shared" si="4"/>
        <v>1433</v>
      </c>
      <c r="G7" s="1">
        <f t="shared" si="3"/>
        <v>64103</v>
      </c>
      <c r="H7" s="1">
        <v>5</v>
      </c>
    </row>
    <row r="8" spans="1:8" x14ac:dyDescent="0.25">
      <c r="A8" s="1" t="s">
        <v>2</v>
      </c>
      <c r="B8" s="1">
        <v>370</v>
      </c>
      <c r="C8">
        <f t="shared" si="0"/>
        <v>369.99442271163434</v>
      </c>
      <c r="D8" s="1">
        <f t="shared" si="2"/>
        <v>2702.7027027027029</v>
      </c>
      <c r="E8">
        <f t="shared" si="1"/>
        <v>1351.3513513513515</v>
      </c>
      <c r="F8" s="1">
        <f t="shared" si="4"/>
        <v>1351</v>
      </c>
      <c r="G8" s="1">
        <f t="shared" si="3"/>
        <v>64185</v>
      </c>
      <c r="H8" s="1">
        <v>6</v>
      </c>
    </row>
    <row r="9" spans="1:8" x14ac:dyDescent="0.25">
      <c r="A9" s="1">
        <v>5</v>
      </c>
      <c r="B9" s="1">
        <v>392</v>
      </c>
      <c r="C9">
        <f t="shared" si="0"/>
        <v>391.99543598174927</v>
      </c>
      <c r="D9" s="1">
        <f t="shared" si="2"/>
        <v>2551.0204081632651</v>
      </c>
      <c r="E9">
        <f t="shared" si="1"/>
        <v>1275.5102040816325</v>
      </c>
      <c r="F9" s="1">
        <f t="shared" si="4"/>
        <v>1276</v>
      </c>
      <c r="G9" s="1">
        <f t="shared" si="3"/>
        <v>64260</v>
      </c>
      <c r="H9" s="1">
        <v>7</v>
      </c>
    </row>
    <row r="10" spans="1:8" x14ac:dyDescent="0.25">
      <c r="A10" s="1" t="s">
        <v>3</v>
      </c>
      <c r="B10" s="1">
        <v>415</v>
      </c>
      <c r="C10">
        <f>C11/2^(1/12)</f>
        <v>415.30469757994513</v>
      </c>
      <c r="D10" s="1">
        <f t="shared" si="2"/>
        <v>2409.6385542168678</v>
      </c>
      <c r="E10">
        <f t="shared" si="1"/>
        <v>1204.8192771084339</v>
      </c>
      <c r="F10" s="1">
        <f t="shared" si="4"/>
        <v>1205</v>
      </c>
      <c r="G10" s="1">
        <f t="shared" si="3"/>
        <v>64331</v>
      </c>
      <c r="H10" s="1">
        <v>8</v>
      </c>
    </row>
    <row r="11" spans="1:8" x14ac:dyDescent="0.25">
      <c r="A11" s="1">
        <v>6</v>
      </c>
      <c r="B11" s="1">
        <v>440</v>
      </c>
      <c r="C11">
        <v>440</v>
      </c>
      <c r="D11" s="1">
        <f t="shared" si="2"/>
        <v>2272.7272727272725</v>
      </c>
      <c r="E11">
        <f t="shared" si="1"/>
        <v>1136.3636363636363</v>
      </c>
      <c r="F11" s="1">
        <f t="shared" si="4"/>
        <v>1136</v>
      </c>
      <c r="G11" s="1">
        <f t="shared" si="3"/>
        <v>64400</v>
      </c>
      <c r="H11" s="1">
        <v>9</v>
      </c>
    </row>
    <row r="12" spans="1:8" x14ac:dyDescent="0.25">
      <c r="A12" s="1" t="s">
        <v>4</v>
      </c>
      <c r="B12" s="1">
        <v>466</v>
      </c>
      <c r="C12">
        <f>C11*2^(1/12)</f>
        <v>466.16376151808993</v>
      </c>
      <c r="D12" s="1">
        <f t="shared" si="2"/>
        <v>2145.9227467811161</v>
      </c>
      <c r="E12">
        <f t="shared" si="1"/>
        <v>1072.961373390558</v>
      </c>
      <c r="F12" s="1">
        <f t="shared" si="4"/>
        <v>1073</v>
      </c>
      <c r="G12" s="1">
        <f t="shared" si="3"/>
        <v>64463</v>
      </c>
      <c r="H12" s="1">
        <v>10</v>
      </c>
    </row>
    <row r="13" spans="1:8" x14ac:dyDescent="0.25">
      <c r="A13" s="1">
        <v>7</v>
      </c>
      <c r="B13" s="1">
        <v>494</v>
      </c>
      <c r="C13">
        <f t="shared" ref="C13:C37" si="5">C12*2^(1/12)</f>
        <v>493.88330125612413</v>
      </c>
      <c r="D13" s="1">
        <f t="shared" si="2"/>
        <v>2024.2914979757086</v>
      </c>
      <c r="E13">
        <f t="shared" si="1"/>
        <v>1012.1457489878543</v>
      </c>
      <c r="F13" s="1">
        <f t="shared" si="4"/>
        <v>1012</v>
      </c>
      <c r="G13" s="1">
        <f t="shared" si="3"/>
        <v>64524</v>
      </c>
      <c r="H13" s="1">
        <v>11</v>
      </c>
    </row>
    <row r="14" spans="1:8" x14ac:dyDescent="0.25">
      <c r="A14" s="1">
        <v>1</v>
      </c>
      <c r="B14" s="1">
        <v>523</v>
      </c>
      <c r="C14">
        <f t="shared" si="5"/>
        <v>523.25113060119736</v>
      </c>
      <c r="D14" s="1">
        <f t="shared" si="2"/>
        <v>1912.0458891013384</v>
      </c>
      <c r="E14">
        <f t="shared" si="1"/>
        <v>956.02294455066919</v>
      </c>
      <c r="F14" s="1">
        <f t="shared" si="4"/>
        <v>956</v>
      </c>
      <c r="G14" s="1">
        <f t="shared" si="3"/>
        <v>64580</v>
      </c>
      <c r="H14" s="1">
        <v>12</v>
      </c>
    </row>
    <row r="15" spans="1:8" x14ac:dyDescent="0.25">
      <c r="A15" s="1" t="s">
        <v>0</v>
      </c>
      <c r="B15" s="1">
        <v>554</v>
      </c>
      <c r="C15">
        <f t="shared" si="5"/>
        <v>554.36526195374427</v>
      </c>
      <c r="D15" s="1">
        <f t="shared" si="2"/>
        <v>1805.0541516245487</v>
      </c>
      <c r="E15">
        <f t="shared" si="1"/>
        <v>902.52707581227435</v>
      </c>
      <c r="F15" s="1">
        <f t="shared" si="4"/>
        <v>903</v>
      </c>
      <c r="G15" s="1">
        <f t="shared" si="3"/>
        <v>64633</v>
      </c>
      <c r="H15" s="1">
        <v>13</v>
      </c>
    </row>
    <row r="16" spans="1:8" x14ac:dyDescent="0.25">
      <c r="A16" s="1">
        <v>2</v>
      </c>
      <c r="B16" s="1">
        <v>587</v>
      </c>
      <c r="C16">
        <f t="shared" si="5"/>
        <v>587.32953583481526</v>
      </c>
      <c r="D16" s="1">
        <f t="shared" si="2"/>
        <v>1703.5775127768313</v>
      </c>
      <c r="E16">
        <f t="shared" si="1"/>
        <v>851.78875638841566</v>
      </c>
      <c r="F16" s="1">
        <f t="shared" si="4"/>
        <v>852</v>
      </c>
      <c r="G16" s="1">
        <f t="shared" si="3"/>
        <v>64684</v>
      </c>
      <c r="H16" s="1">
        <v>14</v>
      </c>
    </row>
    <row r="17" spans="1:8" x14ac:dyDescent="0.25">
      <c r="A17" s="1" t="s">
        <v>1</v>
      </c>
      <c r="B17" s="1">
        <v>622</v>
      </c>
      <c r="C17">
        <f t="shared" si="5"/>
        <v>622.25396744416196</v>
      </c>
      <c r="D17" s="1">
        <f t="shared" si="2"/>
        <v>1607.7170418006431</v>
      </c>
      <c r="E17">
        <f t="shared" si="1"/>
        <v>803.85852090032154</v>
      </c>
      <c r="F17" s="1">
        <f t="shared" si="4"/>
        <v>804</v>
      </c>
      <c r="G17" s="1">
        <f t="shared" si="3"/>
        <v>64732</v>
      </c>
      <c r="H17" s="1">
        <v>15</v>
      </c>
    </row>
    <row r="18" spans="1:8" x14ac:dyDescent="0.25">
      <c r="A18" s="1">
        <v>3</v>
      </c>
      <c r="B18" s="1">
        <v>659</v>
      </c>
      <c r="C18">
        <f t="shared" si="5"/>
        <v>659.25511382574007</v>
      </c>
      <c r="D18" s="1">
        <f t="shared" si="2"/>
        <v>1517.4506828528074</v>
      </c>
      <c r="E18">
        <f t="shared" si="1"/>
        <v>758.7253414264037</v>
      </c>
      <c r="F18" s="1">
        <f t="shared" si="4"/>
        <v>759</v>
      </c>
      <c r="G18" s="1">
        <f t="shared" si="3"/>
        <v>64777</v>
      </c>
      <c r="H18" s="1">
        <v>16</v>
      </c>
    </row>
    <row r="19" spans="1:8" x14ac:dyDescent="0.25">
      <c r="A19" s="1">
        <v>4</v>
      </c>
      <c r="B19" s="1">
        <v>698</v>
      </c>
      <c r="C19">
        <f t="shared" si="5"/>
        <v>698.456462866008</v>
      </c>
      <c r="D19" s="1">
        <f t="shared" si="2"/>
        <v>1432.6647564469913</v>
      </c>
      <c r="E19">
        <f t="shared" si="1"/>
        <v>716.33237822349565</v>
      </c>
      <c r="F19" s="1">
        <f t="shared" si="4"/>
        <v>716</v>
      </c>
      <c r="G19" s="1">
        <f t="shared" si="3"/>
        <v>64820</v>
      </c>
      <c r="H19" s="1">
        <v>17</v>
      </c>
    </row>
    <row r="20" spans="1:8" x14ac:dyDescent="0.25">
      <c r="A20" s="1" t="s">
        <v>2</v>
      </c>
      <c r="B20" s="1">
        <v>740</v>
      </c>
      <c r="C20">
        <f t="shared" si="5"/>
        <v>739.98884542326903</v>
      </c>
      <c r="D20" s="1">
        <f t="shared" si="2"/>
        <v>1351.3513513513515</v>
      </c>
      <c r="E20">
        <f t="shared" si="1"/>
        <v>675.67567567567573</v>
      </c>
      <c r="F20" s="1">
        <f t="shared" si="4"/>
        <v>676</v>
      </c>
      <c r="G20" s="1">
        <f t="shared" si="3"/>
        <v>64860</v>
      </c>
      <c r="H20" s="1">
        <v>18</v>
      </c>
    </row>
    <row r="21" spans="1:8" x14ac:dyDescent="0.25">
      <c r="A21" s="1">
        <v>5</v>
      </c>
      <c r="B21" s="1">
        <v>784</v>
      </c>
      <c r="C21">
        <f t="shared" si="5"/>
        <v>783.99087196349888</v>
      </c>
      <c r="D21" s="1">
        <f t="shared" si="2"/>
        <v>1275.5102040816325</v>
      </c>
      <c r="E21">
        <f t="shared" si="1"/>
        <v>637.75510204081627</v>
      </c>
      <c r="F21" s="1">
        <f t="shared" si="4"/>
        <v>638</v>
      </c>
      <c r="G21" s="1">
        <f t="shared" si="3"/>
        <v>64898</v>
      </c>
      <c r="H21" s="1">
        <v>19</v>
      </c>
    </row>
    <row r="22" spans="1:8" x14ac:dyDescent="0.25">
      <c r="A22" s="1" t="s">
        <v>3</v>
      </c>
      <c r="B22" s="1">
        <v>831</v>
      </c>
      <c r="C22">
        <f t="shared" si="5"/>
        <v>830.6093951598906</v>
      </c>
      <c r="D22" s="1">
        <f t="shared" si="2"/>
        <v>1203.3694344163659</v>
      </c>
      <c r="E22">
        <f t="shared" si="1"/>
        <v>601.68471720818297</v>
      </c>
      <c r="F22" s="1">
        <f t="shared" si="4"/>
        <v>602</v>
      </c>
      <c r="G22" s="1">
        <f t="shared" si="3"/>
        <v>64934</v>
      </c>
      <c r="H22" s="1">
        <v>20</v>
      </c>
    </row>
    <row r="23" spans="1:8" x14ac:dyDescent="0.25">
      <c r="A23" s="1">
        <v>6</v>
      </c>
      <c r="B23" s="1">
        <v>880</v>
      </c>
      <c r="C23">
        <f t="shared" si="5"/>
        <v>880.00000000000034</v>
      </c>
      <c r="D23" s="1">
        <f t="shared" si="2"/>
        <v>1136.3636363636363</v>
      </c>
      <c r="E23">
        <f t="shared" si="1"/>
        <v>568.18181818181813</v>
      </c>
      <c r="F23" s="1">
        <f t="shared" si="4"/>
        <v>568</v>
      </c>
      <c r="G23" s="1">
        <f t="shared" si="3"/>
        <v>64968</v>
      </c>
      <c r="H23" s="1">
        <v>21</v>
      </c>
    </row>
    <row r="24" spans="1:8" x14ac:dyDescent="0.25">
      <c r="A24" s="1" t="s">
        <v>4</v>
      </c>
      <c r="B24" s="1">
        <v>932</v>
      </c>
      <c r="C24">
        <f t="shared" si="5"/>
        <v>932.3275230361802</v>
      </c>
      <c r="D24" s="1">
        <f t="shared" si="2"/>
        <v>1072.961373390558</v>
      </c>
      <c r="E24">
        <f t="shared" si="1"/>
        <v>536.48068669527902</v>
      </c>
      <c r="F24" s="1">
        <f t="shared" si="4"/>
        <v>536</v>
      </c>
      <c r="G24" s="1">
        <f t="shared" si="3"/>
        <v>65000</v>
      </c>
      <c r="H24" s="1">
        <v>22</v>
      </c>
    </row>
    <row r="25" spans="1:8" x14ac:dyDescent="0.25">
      <c r="A25" s="1">
        <v>7</v>
      </c>
      <c r="B25" s="1">
        <v>988</v>
      </c>
      <c r="C25">
        <f>C24*2^(1/12)</f>
        <v>987.7666025122486</v>
      </c>
      <c r="D25" s="1">
        <f t="shared" si="2"/>
        <v>1012.1457489878543</v>
      </c>
      <c r="E25">
        <f t="shared" si="1"/>
        <v>506.07287449392715</v>
      </c>
      <c r="F25" s="1">
        <f t="shared" si="4"/>
        <v>506</v>
      </c>
      <c r="G25" s="1">
        <f t="shared" si="3"/>
        <v>65030</v>
      </c>
      <c r="H25" s="1">
        <v>23</v>
      </c>
    </row>
    <row r="26" spans="1:8" x14ac:dyDescent="0.25">
      <c r="A26" s="1">
        <v>1</v>
      </c>
      <c r="B26" s="1">
        <v>1046</v>
      </c>
      <c r="C26">
        <f t="shared" si="5"/>
        <v>1046.5022612023949</v>
      </c>
      <c r="D26" s="1">
        <f t="shared" si="2"/>
        <v>956.02294455066919</v>
      </c>
      <c r="E26">
        <f t="shared" si="1"/>
        <v>478.0114722753346</v>
      </c>
      <c r="F26" s="1">
        <f t="shared" si="4"/>
        <v>478</v>
      </c>
      <c r="G26" s="1">
        <f t="shared" si="3"/>
        <v>65058</v>
      </c>
      <c r="H26" s="1">
        <v>24</v>
      </c>
    </row>
    <row r="27" spans="1:8" x14ac:dyDescent="0.25">
      <c r="A27" s="1" t="s">
        <v>0</v>
      </c>
      <c r="B27" s="1">
        <v>1109</v>
      </c>
      <c r="C27">
        <f t="shared" si="5"/>
        <v>1108.7305239074888</v>
      </c>
      <c r="D27" s="1">
        <f t="shared" si="2"/>
        <v>901.71325518485116</v>
      </c>
      <c r="E27">
        <f t="shared" si="1"/>
        <v>450.85662759242558</v>
      </c>
      <c r="F27" s="1">
        <f t="shared" si="4"/>
        <v>451</v>
      </c>
      <c r="G27" s="1">
        <f t="shared" si="3"/>
        <v>65085</v>
      </c>
      <c r="H27" s="1">
        <v>25</v>
      </c>
    </row>
    <row r="28" spans="1:8" x14ac:dyDescent="0.25">
      <c r="A28" s="1">
        <v>2</v>
      </c>
      <c r="B28" s="1">
        <v>1175</v>
      </c>
      <c r="C28">
        <f t="shared" si="5"/>
        <v>1174.6590716696307</v>
      </c>
      <c r="D28" s="1">
        <f t="shared" si="2"/>
        <v>851.063829787234</v>
      </c>
      <c r="E28">
        <f t="shared" si="1"/>
        <v>425.531914893617</v>
      </c>
      <c r="F28" s="1">
        <f t="shared" si="4"/>
        <v>426</v>
      </c>
      <c r="G28" s="1">
        <f t="shared" si="3"/>
        <v>65110</v>
      </c>
      <c r="H28" s="1">
        <v>26</v>
      </c>
    </row>
    <row r="29" spans="1:8" x14ac:dyDescent="0.25">
      <c r="A29" s="1" t="s">
        <v>1</v>
      </c>
      <c r="B29" s="1">
        <v>1245</v>
      </c>
      <c r="C29">
        <f t="shared" si="5"/>
        <v>1244.5079348883241</v>
      </c>
      <c r="D29" s="1">
        <f t="shared" si="2"/>
        <v>803.21285140562247</v>
      </c>
      <c r="E29">
        <f t="shared" si="1"/>
        <v>401.60642570281124</v>
      </c>
      <c r="F29" s="1">
        <f t="shared" si="4"/>
        <v>402</v>
      </c>
      <c r="G29" s="1">
        <f t="shared" si="3"/>
        <v>65134</v>
      </c>
      <c r="H29" s="1">
        <v>27</v>
      </c>
    </row>
    <row r="30" spans="1:8" x14ac:dyDescent="0.25">
      <c r="A30" s="1">
        <v>3</v>
      </c>
      <c r="B30" s="1">
        <v>1318</v>
      </c>
      <c r="C30">
        <f t="shared" si="5"/>
        <v>1318.5102276514804</v>
      </c>
      <c r="D30" s="1">
        <f t="shared" si="2"/>
        <v>758.7253414264037</v>
      </c>
      <c r="E30">
        <f t="shared" si="1"/>
        <v>379.36267071320185</v>
      </c>
      <c r="F30" s="1">
        <f t="shared" si="4"/>
        <v>379</v>
      </c>
      <c r="G30" s="1">
        <f t="shared" si="3"/>
        <v>65157</v>
      </c>
      <c r="H30" s="1">
        <v>28</v>
      </c>
    </row>
    <row r="31" spans="1:8" x14ac:dyDescent="0.25">
      <c r="A31" s="1">
        <v>4</v>
      </c>
      <c r="B31" s="1">
        <v>1397</v>
      </c>
      <c r="C31">
        <f t="shared" si="5"/>
        <v>1396.9129257320162</v>
      </c>
      <c r="D31" s="1">
        <f t="shared" si="2"/>
        <v>715.81961345740865</v>
      </c>
      <c r="E31">
        <f t="shared" si="1"/>
        <v>357.90980672870432</v>
      </c>
      <c r="F31" s="1">
        <f t="shared" si="4"/>
        <v>358</v>
      </c>
      <c r="G31" s="1">
        <f t="shared" si="3"/>
        <v>65178</v>
      </c>
      <c r="H31" s="1">
        <v>29</v>
      </c>
    </row>
    <row r="32" spans="1:8" x14ac:dyDescent="0.25">
      <c r="A32" s="1" t="s">
        <v>2</v>
      </c>
      <c r="B32" s="1">
        <v>1480</v>
      </c>
      <c r="C32">
        <f t="shared" si="5"/>
        <v>1479.9776908465383</v>
      </c>
      <c r="D32" s="1">
        <f t="shared" si="2"/>
        <v>675.67567567567573</v>
      </c>
      <c r="E32">
        <f t="shared" si="1"/>
        <v>337.83783783783787</v>
      </c>
      <c r="F32" s="1">
        <f t="shared" si="4"/>
        <v>338</v>
      </c>
      <c r="G32" s="1">
        <f t="shared" si="3"/>
        <v>65198</v>
      </c>
      <c r="H32" s="1">
        <v>30</v>
      </c>
    </row>
    <row r="33" spans="1:8" x14ac:dyDescent="0.25">
      <c r="A33" s="1">
        <v>5</v>
      </c>
      <c r="B33" s="1">
        <v>1568</v>
      </c>
      <c r="C33">
        <f t="shared" si="5"/>
        <v>1567.981743926998</v>
      </c>
      <c r="D33" s="1">
        <f t="shared" si="2"/>
        <v>637.75510204081627</v>
      </c>
      <c r="E33">
        <f t="shared" si="1"/>
        <v>318.87755102040813</v>
      </c>
      <c r="F33" s="1">
        <f t="shared" si="4"/>
        <v>319</v>
      </c>
      <c r="G33" s="1">
        <f t="shared" si="3"/>
        <v>65217</v>
      </c>
      <c r="H33" s="1">
        <v>31</v>
      </c>
    </row>
    <row r="34" spans="1:8" x14ac:dyDescent="0.25">
      <c r="A34" s="1" t="s">
        <v>3</v>
      </c>
      <c r="B34" s="1">
        <v>1661</v>
      </c>
      <c r="C34">
        <f t="shared" si="5"/>
        <v>1661.2187903197814</v>
      </c>
      <c r="D34" s="1">
        <f t="shared" si="2"/>
        <v>602.04695966285374</v>
      </c>
      <c r="E34">
        <f t="shared" si="1"/>
        <v>301.02347983142687</v>
      </c>
      <c r="F34" s="1">
        <f t="shared" si="4"/>
        <v>301</v>
      </c>
      <c r="G34" s="1">
        <f t="shared" si="3"/>
        <v>65235</v>
      </c>
      <c r="H34" s="1">
        <v>32</v>
      </c>
    </row>
    <row r="35" spans="1:8" x14ac:dyDescent="0.25">
      <c r="A35" s="1">
        <v>6</v>
      </c>
      <c r="B35" s="1">
        <v>1760</v>
      </c>
      <c r="C35">
        <f t="shared" si="5"/>
        <v>1760.0000000000009</v>
      </c>
      <c r="D35" s="1">
        <f t="shared" si="2"/>
        <v>568.18181818181813</v>
      </c>
      <c r="E35">
        <f t="shared" si="1"/>
        <v>284.09090909090907</v>
      </c>
      <c r="F35" s="1">
        <f t="shared" si="4"/>
        <v>284</v>
      </c>
      <c r="G35" s="1">
        <f t="shared" si="3"/>
        <v>65252</v>
      </c>
      <c r="H35" s="1">
        <v>33</v>
      </c>
    </row>
    <row r="36" spans="1:8" x14ac:dyDescent="0.25">
      <c r="A36" s="1" t="s">
        <v>4</v>
      </c>
      <c r="B36" s="1">
        <v>1865</v>
      </c>
      <c r="C36">
        <f t="shared" si="5"/>
        <v>1864.6550460723606</v>
      </c>
      <c r="D36" s="1">
        <f t="shared" si="2"/>
        <v>536.19302949061671</v>
      </c>
      <c r="E36">
        <f t="shared" si="1"/>
        <v>268.09651474530835</v>
      </c>
      <c r="F36" s="1">
        <f t="shared" si="4"/>
        <v>268</v>
      </c>
      <c r="G36" s="1">
        <f t="shared" si="3"/>
        <v>65268</v>
      </c>
      <c r="H36" s="1">
        <v>34</v>
      </c>
    </row>
    <row r="37" spans="1:8" x14ac:dyDescent="0.25">
      <c r="A37" s="1">
        <v>7</v>
      </c>
      <c r="B37" s="1">
        <v>1976</v>
      </c>
      <c r="C37">
        <f t="shared" si="5"/>
        <v>1975.5332050244976</v>
      </c>
      <c r="D37" s="1">
        <f t="shared" si="2"/>
        <v>506.07287449392715</v>
      </c>
      <c r="E37">
        <f t="shared" si="1"/>
        <v>253.03643724696357</v>
      </c>
      <c r="F37" s="1">
        <f t="shared" si="4"/>
        <v>253</v>
      </c>
      <c r="G37" s="1">
        <f t="shared" si="3"/>
        <v>65283</v>
      </c>
      <c r="H37" s="1">
        <v>35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2026-06-07T04:37:47Z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6C3F2028-993B-42C2-8AD9-90F3BBCE7226</vt:lpwstr>
  </property>
</Properties>
</file>